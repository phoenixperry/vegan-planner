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ily Log" sheetId="2" state="visible" r:id="rId4"/>
    <sheet name="Meal Refere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<sst xmlns="http://schemas.openxmlformats.org/spreadsheetml/2006/main" count="89" uniqueCount="69">
  <si>
    <t xml:space="preserve">THRUM — VEGAN PLATE TRACKER</t>
  </si>
  <si>
    <t xml:space="preserve">High-protein, high-calcium vegan cut · 1.6 g/kg protein</t>
  </si>
  <si>
    <t xml:space="preserve">TARGETS</t>
  </si>
  <si>
    <t xml:space="preserve">Calorie target (kcal)</t>
  </si>
  <si>
    <t xml:space="preserve">Calorie min</t>
  </si>
  <si>
    <t xml:space="preserve">Calorie max</t>
  </si>
  <si>
    <t xml:space="preserve">Protein target (g)</t>
  </si>
  <si>
    <t xml:space="preserve">Calcium target (mg)</t>
  </si>
  <si>
    <t xml:space="preserve">Bodyweight (kg)</t>
  </si>
  <si>
    <t xml:space="preserve">Goal weight (kg)</t>
  </si>
  <si>
    <t xml:space="preserve">Blue cells are inputs — edit freely.</t>
  </si>
  <si>
    <t xml:space="preserve">7-DAY / OVERALL SUMMARY</t>
  </si>
  <si>
    <t xml:space="preserve">Days logged</t>
  </si>
  <si>
    <t xml:space="preserve">Avg calories (kcal)</t>
  </si>
  <si>
    <t xml:space="preserve">Avg protein (g)</t>
  </si>
  <si>
    <t xml:space="preserve">Avg calcium (mg)</t>
  </si>
  <si>
    <t xml:space="preserve">Latest weight (kg)</t>
  </si>
  <si>
    <t xml:space="preserve">Protein goal hit %</t>
  </si>
  <si>
    <t xml:space="preserve">Calories in-band %</t>
  </si>
  <si>
    <t xml:space="preserve">Calcium goal hit %</t>
  </si>
  <si>
    <t xml:space="preserve">Weight &amp; calorie trend (from Daily Log) ↓</t>
  </si>
  <si>
    <t xml:space="preserve">Date</t>
  </si>
  <si>
    <t xml:space="preserve">Weight (kg)</t>
  </si>
  <si>
    <t xml:space="preserve">Calories</t>
  </si>
  <si>
    <t xml:space="preserve">Protein (g)</t>
  </si>
  <si>
    <t xml:space="preserve">Calcium (mg)</t>
  </si>
  <si>
    <t xml:space="preserve">Water (L)</t>
  </si>
  <si>
    <t xml:space="preserve">Training</t>
  </si>
  <si>
    <t xml:space="preserve">Protein hit</t>
  </si>
  <si>
    <t xml:space="preserve">Cals in band</t>
  </si>
  <si>
    <t xml:space="preserve">7-day wt avg</t>
  </si>
  <si>
    <t xml:space="preserve">Notes</t>
  </si>
  <si>
    <t xml:space="preserve">MEAL DATABASE</t>
  </si>
  <si>
    <t xml:space="preserve">Same foods the generator picks from. Per serving.</t>
  </si>
  <si>
    <t xml:space="preserve">Meal</t>
  </si>
  <si>
    <t xml:space="preserve">Slot</t>
  </si>
  <si>
    <t xml:space="preserve">kcal</t>
  </si>
  <si>
    <t xml:space="preserve">Protein g</t>
  </si>
  <si>
    <t xml:space="preserve">Calcium mg</t>
  </si>
  <si>
    <t xml:space="preserve">2 flat whites (fortified soy)</t>
  </si>
  <si>
    <t xml:space="preserve">Coffee</t>
  </si>
  <si>
    <t xml:space="preserve">Tofu scramble + wholegrain toast</t>
  </si>
  <si>
    <t xml:space="preserve">Breakfast</t>
  </si>
  <si>
    <t xml:space="preserve">Soy yogurt protein bowl + berries</t>
  </si>
  <si>
    <t xml:space="preserve">High-protein overnight oats</t>
  </si>
  <si>
    <t xml:space="preserve">Besan chickpea pancake + yogurt</t>
  </si>
  <si>
    <t xml:space="preserve">Tofu &amp; kale breakfast hash</t>
  </si>
  <si>
    <t xml:space="preserve">Tofu poke bowl</t>
  </si>
  <si>
    <t xml:space="preserve">Lunch</t>
  </si>
  <si>
    <t xml:space="preserve">Lentil, kale &amp; tahini salad</t>
  </si>
  <si>
    <t xml:space="preserve">Tempeh hummus wrap</t>
  </si>
  <si>
    <t xml:space="preserve">Edamame &amp; tofu stir-fry</t>
  </si>
  <si>
    <t xml:space="preserve">Chickpea &amp; spinach curry + rice</t>
  </si>
  <si>
    <t xml:space="preserve">Seitan &amp; white bean bowl</t>
  </si>
  <si>
    <t xml:space="preserve">Tofu &amp; pak choi soba</t>
  </si>
  <si>
    <t xml:space="preserve">Dinner</t>
  </si>
  <si>
    <t xml:space="preserve">Lentil bolognese</t>
  </si>
  <si>
    <t xml:space="preserve">Tempeh &amp; broccoli traybake</t>
  </si>
  <si>
    <t xml:space="preserve">Tofu saag + rice</t>
  </si>
  <si>
    <t xml:space="preserve">Black bean &amp; tofu chilli</t>
  </si>
  <si>
    <t xml:space="preserve">Seitan steak, greens &amp; mash</t>
  </si>
  <si>
    <t xml:space="preserve">Salted edamame</t>
  </si>
  <si>
    <t xml:space="preserve">Snack</t>
  </si>
  <si>
    <t xml:space="preserve">Roasted chickpeas</t>
  </si>
  <si>
    <t xml:space="preserve">Almonds + apple</t>
  </si>
  <si>
    <t xml:space="preserve">Soy yogurt + chia</t>
  </si>
  <si>
    <t xml:space="preserve">Protein shake (water)</t>
  </si>
  <si>
    <t xml:space="preserve">Hummus + carrots</t>
  </si>
  <si>
    <t xml:space="preserve">Tahini rice cakes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</si>
</sst>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0%"/>
    <numFmt numFmtId="168" formatCode="ddd\ dd\-mmm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B1B1F"/>
      <name val="Arial"/>
      <family val="0"/>
      <charset val="1"/>
    </font>
    <font>
      <sz val="10"/>
      <color rgb="FF83838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color rgb="FF83838C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B1B1F"/>
      <name val="Arial"/>
      <family val="0"/>
      <charset val="1"/>
    </font>
    <font>
      <sz val="11"/>
      <color rgb="FF83838C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1B1F"/>
        <bgColor rgb="FF333300"/>
      </patternFill>
    </fill>
    <fill>
      <patternFill patternType="solid">
        <fgColor rgb="FFFFF6D6"/>
        <bgColor rgb="FFFCEFD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8DE"/>
      </left>
      <right style="thin">
        <color rgb="FFD8D8DE"/>
      </right>
      <top style="thin">
        <color rgb="FFD8D8DE"/>
      </top>
      <bottom style="thin">
        <color rgb="FFD8D8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BF3E6"/>
        </patternFill>
      </fill>
    </dxf>
    <dxf>
      <fill>
        <patternFill>
          <bgColor rgb="FFFBE0DA"/>
        </patternFill>
      </fill>
    </dxf>
    <dxf>
      <fill>
        <patternFill>
          <bgColor rgb="FFFCEFD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3838C"/>
      <rgbColor rgb="FF9999FF"/>
      <rgbColor rgb="FFBE4B48"/>
      <rgbColor rgb="FFFFF6D6"/>
      <rgbColor rgb="FFDBF3E6"/>
      <rgbColor rgb="FF660066"/>
      <rgbColor rgb="FFFF8080"/>
      <rgbColor rgb="FF0066CC"/>
      <rgbColor rgb="FFD8D8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FD2"/>
      <rgbColor rgb="FF99CCFF"/>
      <rgbColor rgb="FFFF99CC"/>
      <rgbColor rgb="FFCC99FF"/>
      <rgbColor rgb="FFFBE0DA"/>
      <rgbColor rgb="FF3366FF"/>
      <rgbColor rgb="FF33CCCC"/>
      <rgbColor rgb="FF99CC00"/>
      <rgbColor rgb="FFFFCC00"/>
      <rgbColor rgb="FFFF9900"/>
      <rgbColor rgb="FFFF6600"/>
      <rgbColor rgb="FF4A7EBB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1B1B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Weight (kg)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'Daily Log'!B1</c:f>
              <c:strCache>
                <c:ptCount val="1"/>
                <c:pt idx="0">
                  <c:v>Weight (kg)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Log'!$A$2:$A$43</c:f>
              <c:strCache>
                <c:ptCount val="42"/>
                <c:pt idx="0">
                  <c:v>Thu 28-May</c:v>
                </c:pt>
                <c:pt idx="1">
                  <c:v>Fri 29-May</c:v>
                </c:pt>
                <c:pt idx="2">
                  <c:v>Sat 30-May</c:v>
                </c:pt>
                <c:pt idx="3">
                  <c:v>Sun 31-May</c:v>
                </c:pt>
                <c:pt idx="4">
                  <c:v>Mon 01-Jun</c:v>
                </c:pt>
                <c:pt idx="5">
                  <c:v>Tue 02-Jun</c:v>
                </c:pt>
                <c:pt idx="6">
                  <c:v>Wed 03-Jun</c:v>
                </c:pt>
                <c:pt idx="7">
                  <c:v>Thu 04-Jun</c:v>
                </c:pt>
                <c:pt idx="8">
                  <c:v>Fri 05-Jun</c:v>
                </c:pt>
                <c:pt idx="9">
                  <c:v>Sat 06-Jun</c:v>
                </c:pt>
                <c:pt idx="10">
                  <c:v>Sun 07-Jun</c:v>
                </c:pt>
                <c:pt idx="11">
                  <c:v>Mon 08-Jun</c:v>
                </c:pt>
                <c:pt idx="12">
                  <c:v>Tue 09-Jun</c:v>
                </c:pt>
                <c:pt idx="13">
                  <c:v>Wed 10-Jun</c:v>
                </c:pt>
                <c:pt idx="14">
                  <c:v>Thu 11-Jun</c:v>
                </c:pt>
                <c:pt idx="15">
                  <c:v>Fri 12-Jun</c:v>
                </c:pt>
                <c:pt idx="16">
                  <c:v>Sat 13-Jun</c:v>
                </c:pt>
                <c:pt idx="17">
                  <c:v>Sun 14-Jun</c:v>
                </c:pt>
                <c:pt idx="18">
                  <c:v>Mon 15-Jun</c:v>
                </c:pt>
                <c:pt idx="19">
                  <c:v>Tue 16-Jun</c:v>
                </c:pt>
                <c:pt idx="20">
                  <c:v>Wed 17-Jun</c:v>
                </c:pt>
                <c:pt idx="21">
                  <c:v>Thu 18-Jun</c:v>
                </c:pt>
                <c:pt idx="22">
                  <c:v>Fri 19-Jun</c:v>
                </c:pt>
                <c:pt idx="23">
                  <c:v>Sat 20-Jun</c:v>
                </c:pt>
                <c:pt idx="24">
                  <c:v>Sun 21-Jun</c:v>
                </c:pt>
                <c:pt idx="25">
                  <c:v>Mon 22-Jun</c:v>
                </c:pt>
                <c:pt idx="26">
                  <c:v>Tue 23-Jun</c:v>
                </c:pt>
                <c:pt idx="27">
                  <c:v>Wed 24-Jun</c:v>
                </c:pt>
                <c:pt idx="28">
                  <c:v>Thu 25-Jun</c:v>
                </c:pt>
                <c:pt idx="29">
                  <c:v>Fri 26-Jun</c:v>
                </c:pt>
                <c:pt idx="30">
                  <c:v>Sat 27-Jun</c:v>
                </c:pt>
                <c:pt idx="31">
                  <c:v>Sun 28-Jun</c:v>
                </c:pt>
                <c:pt idx="32">
                  <c:v>Mon 29-Jun</c:v>
                </c:pt>
                <c:pt idx="33">
                  <c:v>Tue 30-Jun</c:v>
                </c:pt>
                <c:pt idx="34">
                  <c:v>Wed 01-Jul</c:v>
                </c:pt>
                <c:pt idx="35">
                  <c:v>Thu 02-Jul</c:v>
                </c:pt>
                <c:pt idx="36">
                  <c:v>Fri 03-Jul</c:v>
                </c:pt>
                <c:pt idx="37">
                  <c:v>Sat 04-Jul</c:v>
                </c:pt>
                <c:pt idx="38">
                  <c:v>Sun 05-Jul</c:v>
                </c:pt>
                <c:pt idx="39">
                  <c:v>Mon 06-Jul</c:v>
                </c:pt>
                <c:pt idx="40">
                  <c:v>Tue 07-Jul</c:v>
                </c:pt>
                <c:pt idx="41">
                  <c:v>Wed 08-Jul</c:v>
                </c:pt>
              </c:strCache>
            </c:strRef>
          </c:cat>
          <c:val>
            <c:numRef>
              <c:f>'Daily Log'!$B$2:$B$43</c:f>
              <c:numCache>
                <c:formatCode>General</c:formatCode>
                <c:ptCount val="42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7923678"/>
        <c:axId val="94149169"/>
      </c:lineChart>
      <c:catAx>
        <c:axId val="27923678"/>
        <c:scaling>
          <c:orientation val="minMax"/>
        </c:scaling>
        <c:delete val="0"/>
        <c:axPos val="b"/>
        <c:numFmt formatCode="ddd\ dd\-m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149169"/>
        <c:crosses val="autoZero"/>
        <c:auto val="1"/>
        <c:lblAlgn val="ctr"/>
        <c:lblOffset val="100"/>
        <c:noMultiLvlLbl val="0"/>
      </c:catAx>
      <c:valAx>
        <c:axId val="941491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9236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Calories vs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'Daily Log'!C1</c:f>
              <c:strCache>
                <c:ptCount val="1"/>
                <c:pt idx="0">
                  <c:v>Calories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Log'!$A$2:$A$43</c:f>
              <c:strCache>
                <c:ptCount val="42"/>
                <c:pt idx="0">
                  <c:v>Thu 28-May</c:v>
                </c:pt>
                <c:pt idx="1">
                  <c:v>Fri 29-May</c:v>
                </c:pt>
                <c:pt idx="2">
                  <c:v>Sat 30-May</c:v>
                </c:pt>
                <c:pt idx="3">
                  <c:v>Sun 31-May</c:v>
                </c:pt>
                <c:pt idx="4">
                  <c:v>Mon 01-Jun</c:v>
                </c:pt>
                <c:pt idx="5">
                  <c:v>Tue 02-Jun</c:v>
                </c:pt>
                <c:pt idx="6">
                  <c:v>Wed 03-Jun</c:v>
                </c:pt>
                <c:pt idx="7">
                  <c:v>Thu 04-Jun</c:v>
                </c:pt>
                <c:pt idx="8">
                  <c:v>Fri 05-Jun</c:v>
                </c:pt>
                <c:pt idx="9">
                  <c:v>Sat 06-Jun</c:v>
                </c:pt>
                <c:pt idx="10">
                  <c:v>Sun 07-Jun</c:v>
                </c:pt>
                <c:pt idx="11">
                  <c:v>Mon 08-Jun</c:v>
                </c:pt>
                <c:pt idx="12">
                  <c:v>Tue 09-Jun</c:v>
                </c:pt>
                <c:pt idx="13">
                  <c:v>Wed 10-Jun</c:v>
                </c:pt>
                <c:pt idx="14">
                  <c:v>Thu 11-Jun</c:v>
                </c:pt>
                <c:pt idx="15">
                  <c:v>Fri 12-Jun</c:v>
                </c:pt>
                <c:pt idx="16">
                  <c:v>Sat 13-Jun</c:v>
                </c:pt>
                <c:pt idx="17">
                  <c:v>Sun 14-Jun</c:v>
                </c:pt>
                <c:pt idx="18">
                  <c:v>Mon 15-Jun</c:v>
                </c:pt>
                <c:pt idx="19">
                  <c:v>Tue 16-Jun</c:v>
                </c:pt>
                <c:pt idx="20">
                  <c:v>Wed 17-Jun</c:v>
                </c:pt>
                <c:pt idx="21">
                  <c:v>Thu 18-Jun</c:v>
                </c:pt>
                <c:pt idx="22">
                  <c:v>Fri 19-Jun</c:v>
                </c:pt>
                <c:pt idx="23">
                  <c:v>Sat 20-Jun</c:v>
                </c:pt>
                <c:pt idx="24">
                  <c:v>Sun 21-Jun</c:v>
                </c:pt>
                <c:pt idx="25">
                  <c:v>Mon 22-Jun</c:v>
                </c:pt>
                <c:pt idx="26">
                  <c:v>Tue 23-Jun</c:v>
                </c:pt>
                <c:pt idx="27">
                  <c:v>Wed 24-Jun</c:v>
                </c:pt>
                <c:pt idx="28">
                  <c:v>Thu 25-Jun</c:v>
                </c:pt>
                <c:pt idx="29">
                  <c:v>Fri 26-Jun</c:v>
                </c:pt>
                <c:pt idx="30">
                  <c:v>Sat 27-Jun</c:v>
                </c:pt>
                <c:pt idx="31">
                  <c:v>Sun 28-Jun</c:v>
                </c:pt>
                <c:pt idx="32">
                  <c:v>Mon 29-Jun</c:v>
                </c:pt>
                <c:pt idx="33">
                  <c:v>Tue 30-Jun</c:v>
                </c:pt>
                <c:pt idx="34">
                  <c:v>Wed 01-Jul</c:v>
                </c:pt>
                <c:pt idx="35">
                  <c:v>Thu 02-Jul</c:v>
                </c:pt>
                <c:pt idx="36">
                  <c:v>Fri 03-Jul</c:v>
                </c:pt>
                <c:pt idx="37">
                  <c:v>Sat 04-Jul</c:v>
                </c:pt>
                <c:pt idx="38">
                  <c:v>Sun 05-Jul</c:v>
                </c:pt>
                <c:pt idx="39">
                  <c:v>Mon 06-Jul</c:v>
                </c:pt>
                <c:pt idx="40">
                  <c:v>Tue 07-Jul</c:v>
                </c:pt>
                <c:pt idx="41">
                  <c:v>Wed 08-Jul</c:v>
                </c:pt>
              </c:strCache>
            </c:strRef>
          </c:cat>
          <c:val>
            <c:numRef>
              <c:f>'Daily Log'!$C$2:$C$43</c:f>
              <c:numCache>
                <c:formatCode>General</c:formatCode>
                <c:ptCount val="42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9351608"/>
        <c:axId val="5459070"/>
      </c:lineChart>
      <c:catAx>
        <c:axId val="29351608"/>
        <c:scaling>
          <c:orientation val="minMax"/>
        </c:scaling>
        <c:delete val="0"/>
        <c:axPos val="b"/>
        <c:numFmt formatCode="ddd\ dd\-m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59070"/>
        <c:crosses val="autoZero"/>
        <c:auto val="1"/>
        <c:lblAlgn val="ctr"/>
        <c:lblOffset val="100"/>
        <c:noMultiLvlLbl val="0"/>
      </c:catAx>
      <c:valAx>
        <c:axId val="54590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kcal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3516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24</xdr:row>
      <xdr:rowOff>100800</xdr:rowOff>
    </xdr:from>
    <xdr:to>
      <xdr:col>5</xdr:col>
      <xdr:colOff>747720</xdr:colOff>
      <xdr:row>36</xdr:row>
      <xdr:rowOff>154440</xdr:rowOff>
    </xdr:to>
    <xdr:graphicFrame>
      <xdr:nvGraphicFramePr>
        <xdr:cNvPr id="0" name="Chart 1"/>
        <xdr:cNvGraphicFramePr/>
      </xdr:nvGraphicFramePr>
      <xdr:xfrm>
        <a:off x="141120" y="4762440"/>
        <a:ext cx="539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38</xdr:row>
      <xdr:rowOff>101160</xdr:rowOff>
    </xdr:from>
    <xdr:to>
      <xdr:col>5</xdr:col>
      <xdr:colOff>747720</xdr:colOff>
      <xdr:row>50</xdr:row>
      <xdr:rowOff>154800</xdr:rowOff>
    </xdr:to>
    <xdr:graphicFrame>
      <xdr:nvGraphicFramePr>
        <xdr:cNvPr id="1" name="Chart 2"/>
        <xdr:cNvGraphicFramePr/>
      </xdr:nvGraphicFramePr>
      <xdr:xfrm>
        <a:off x="141120" y="7429680"/>
        <a:ext cx="539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6" min="3" style="0" width="14"/>
    <col collapsed="false" customWidth="true" hidden="false" outlineLevel="0" max="7" min="7" style="0" width="4"/>
    <col collapsed="false" customWidth="true" hidden="false" outlineLevel="0" max="8" min="8" style="0" width="22"/>
    <col collapsed="false" customWidth="true" hidden="false" outlineLevel="0" max="9" min="9" style="0" width="12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  <c r="D5" s="4"/>
    </row>
    <row r="6" customFormat="false" ht="15" hidden="false" customHeight="false" outlineLevel="0" collapsed="false">
      <c r="B6" s="5" t="s">
        <v>3</v>
      </c>
      <c r="C6" s="6" t="n">
        <v>1300</v>
      </c>
    </row>
    <row r="7" customFormat="false" ht="15" hidden="false" customHeight="false" outlineLevel="0" collapsed="false">
      <c r="B7" s="5" t="s">
        <v>4</v>
      </c>
      <c r="C7" s="6" t="n">
        <v>1200</v>
      </c>
    </row>
    <row r="8" customFormat="false" ht="15" hidden="false" customHeight="false" outlineLevel="0" collapsed="false">
      <c r="B8" s="5" t="s">
        <v>5</v>
      </c>
      <c r="C8" s="6" t="n">
        <v>1400</v>
      </c>
    </row>
    <row r="9" customFormat="false" ht="15" hidden="false" customHeight="false" outlineLevel="0" collapsed="false">
      <c r="B9" s="5" t="s">
        <v>6</v>
      </c>
      <c r="C9" s="6" t="n">
        <v>107</v>
      </c>
    </row>
    <row r="10" customFormat="false" ht="15" hidden="false" customHeight="false" outlineLevel="0" collapsed="false">
      <c r="B10" s="5" t="s">
        <v>7</v>
      </c>
      <c r="C10" s="6" t="n">
        <v>1000</v>
      </c>
    </row>
    <row r="11" customFormat="false" ht="15" hidden="false" customHeight="false" outlineLevel="0" collapsed="false">
      <c r="B11" s="5" t="s">
        <v>8</v>
      </c>
      <c r="C11" s="6" t="n">
        <v>67</v>
      </c>
    </row>
    <row r="12" customFormat="false" ht="15" hidden="false" customHeight="false" outlineLevel="0" collapsed="false">
      <c r="B12" s="5" t="s">
        <v>9</v>
      </c>
      <c r="C12" s="6"/>
    </row>
    <row r="13" customFormat="false" ht="15" hidden="false" customHeight="false" outlineLevel="0" collapsed="false">
      <c r="B13" s="7" t="s">
        <v>10</v>
      </c>
    </row>
    <row r="15" customFormat="false" ht="15" hidden="false" customHeight="false" outlineLevel="0" collapsed="false">
      <c r="B15" s="3" t="s">
        <v>11</v>
      </c>
      <c r="C15" s="4"/>
      <c r="D15" s="4"/>
    </row>
    <row r="16" customFormat="false" ht="15" hidden="false" customHeight="false" outlineLevel="0" collapsed="false">
      <c r="B16" s="5" t="s">
        <v>12</v>
      </c>
      <c r="C16" s="8" t="n">
        <f aca="false">COUNT('Daily Log'!$C$2:$C$400)</f>
        <v>0</v>
      </c>
    </row>
    <row r="17" customFormat="false" ht="15" hidden="false" customHeight="false" outlineLevel="0" collapsed="false">
      <c r="B17" s="5" t="s">
        <v>13</v>
      </c>
      <c r="C17" s="8" t="n">
        <f aca="false">IFERROR(AVERAGE('Daily Log'!$C$2:$C$400),0)</f>
        <v>0</v>
      </c>
    </row>
    <row r="18" customFormat="false" ht="15" hidden="false" customHeight="false" outlineLevel="0" collapsed="false">
      <c r="B18" s="5" t="s">
        <v>14</v>
      </c>
      <c r="C18" s="8" t="n">
        <f aca="false">IFERROR(AVERAGE('Daily Log'!$D$2:$D$400),0)</f>
        <v>0</v>
      </c>
    </row>
    <row r="19" customFormat="false" ht="15" hidden="false" customHeight="false" outlineLevel="0" collapsed="false">
      <c r="B19" s="5" t="s">
        <v>15</v>
      </c>
      <c r="C19" s="8" t="n">
        <f aca="false">IFERROR(AVERAGE('Daily Log'!$E$2:$E$400),0)</f>
        <v>0</v>
      </c>
    </row>
    <row r="20" customFormat="false" ht="15" hidden="false" customHeight="false" outlineLevel="0" collapsed="false">
      <c r="B20" s="5" t="s">
        <v>16</v>
      </c>
      <c r="C20" s="9" t="str">
        <f aca="false">IFERROR(LOOKUP(2,1/('Daily Log'!$B$2:$B$400&lt;&gt;""),'Daily Log'!$B$2:$B$400),"")</f>
        <v/>
      </c>
    </row>
    <row r="21" customFormat="false" ht="15" hidden="false" customHeight="false" outlineLevel="0" collapsed="false">
      <c r="B21" s="5" t="s">
        <v>17</v>
      </c>
      <c r="C21" s="10" t="n">
        <f aca="false">IFERROR(COUNTIF('Daily Log'!$D$2:$D$400,"&gt;="&amp;Dashboard!$C$9)/COUNT('Daily Log'!$D$2:$D$400),0)</f>
        <v>0</v>
      </c>
    </row>
    <row r="22" customFormat="false" ht="15" hidden="false" customHeight="false" outlineLevel="0" collapsed="false">
      <c r="B22" s="5" t="s">
        <v>18</v>
      </c>
      <c r="C22" s="10" t="n">
        <f aca="false">IFERROR(COUNTIFS('Daily Log'!$C$2:$C$400,"&gt;="&amp;Dashboard!$C$7,'Daily Log'!$C$2:$C$400,"&lt;="&amp;Dashboard!$C$8)/COUNT('Daily Log'!$C$2:$C$400),0)</f>
        <v>0</v>
      </c>
    </row>
    <row r="23" customFormat="false" ht="15" hidden="false" customHeight="false" outlineLevel="0" collapsed="false">
      <c r="B23" s="5" t="s">
        <v>19</v>
      </c>
      <c r="C23" s="10" t="n">
        <f aca="false">IFERROR(COUNTIF('Daily Log'!$E$2:$E$400,"&gt;="&amp;Dashboard!$C$10)/COUNT('Daily Log'!$E$2:$E$400),0)</f>
        <v>0</v>
      </c>
    </row>
    <row r="25" customFormat="false" ht="15" hidden="false" customHeight="false" outlineLevel="0" collapsed="false">
      <c r="B25" s="7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4" min="3" style="0" width="11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30"/>
  </cols>
  <sheetData>
    <row r="1" customFormat="false" ht="30" hidden="false" customHeight="true" outlineLevel="0" collapsed="false">
      <c r="A1" s="11" t="s">
        <v>21</v>
      </c>
      <c r="B1" s="11" t="s">
        <v>22</v>
      </c>
      <c r="C1" s="11" t="s">
        <v>23</v>
      </c>
      <c r="D1" s="11" t="s">
        <v>24</v>
      </c>
      <c r="E1" s="11" t="s">
        <v>25</v>
      </c>
      <c r="F1" s="11" t="s">
        <v>26</v>
      </c>
      <c r="G1" s="11" t="s">
        <v>27</v>
      </c>
      <c r="H1" s="11" t="s">
        <v>28</v>
      </c>
      <c r="I1" s="11" t="s">
        <v>29</v>
      </c>
      <c r="J1" s="11" t="s">
        <v>30</v>
      </c>
      <c r="K1" s="11" t="s">
        <v>31</v>
      </c>
    </row>
    <row r="2" customFormat="false" ht="15" hidden="false" customHeight="false" outlineLevel="0" collapsed="false">
      <c r="A2" s="12" t="n">
        <v>46170</v>
      </c>
      <c r="B2" s="13"/>
      <c r="C2" s="14"/>
      <c r="D2" s="14"/>
      <c r="E2" s="14"/>
      <c r="F2" s="13"/>
      <c r="G2" s="14"/>
      <c r="H2" s="15" t="str">
        <f aca="false">IF(D2="","",IF(D2&gt;=Dashboard!$C$9,"✓","✗"))</f>
        <v/>
      </c>
      <c r="I2" s="15" t="str">
        <f aca="false">IF(C2="","",IF(AND(C2&gt;=Dashboard!$C$7,C2&lt;=Dashboard!$C$8),"✓","✗"))</f>
        <v/>
      </c>
      <c r="J2" s="16" t="str">
        <f aca="false">IFERROR(AVERAGE(B2:B2),"")</f>
        <v/>
      </c>
      <c r="K2" s="17"/>
    </row>
    <row r="3" customFormat="false" ht="15" hidden="false" customHeight="false" outlineLevel="0" collapsed="false">
      <c r="A3" s="12" t="n">
        <v>46171</v>
      </c>
      <c r="B3" s="13"/>
      <c r="C3" s="14"/>
      <c r="D3" s="14"/>
      <c r="E3" s="14"/>
      <c r="F3" s="13"/>
      <c r="G3" s="14"/>
      <c r="H3" s="15" t="str">
        <f aca="false">IF(D3="","",IF(D3&gt;=Dashboard!$C$9,"✓","✗"))</f>
        <v/>
      </c>
      <c r="I3" s="15" t="str">
        <f aca="false">IF(C3="","",IF(AND(C3&gt;=Dashboard!$C$7,C3&lt;=Dashboard!$C$8),"✓","✗"))</f>
        <v/>
      </c>
      <c r="J3" s="16" t="str">
        <f aca="false">IFERROR(AVERAGE(B2:B3),"")</f>
        <v/>
      </c>
      <c r="K3" s="17"/>
    </row>
    <row r="4" customFormat="false" ht="15" hidden="false" customHeight="false" outlineLevel="0" collapsed="false">
      <c r="A4" s="12" t="n">
        <v>46172</v>
      </c>
      <c r="B4" s="13"/>
      <c r="C4" s="14"/>
      <c r="D4" s="14"/>
      <c r="E4" s="14"/>
      <c r="F4" s="13"/>
      <c r="G4" s="14"/>
      <c r="H4" s="15" t="str">
        <f aca="false">IF(D4="","",IF(D4&gt;=Dashboard!$C$9,"✓","✗"))</f>
        <v/>
      </c>
      <c r="I4" s="15" t="str">
        <f aca="false">IF(C4="","",IF(AND(C4&gt;=Dashboard!$C$7,C4&lt;=Dashboard!$C$8),"✓","✗"))</f>
        <v/>
      </c>
      <c r="J4" s="16" t="str">
        <f aca="false">IFERROR(AVERAGE(B2:B4),"")</f>
        <v/>
      </c>
      <c r="K4" s="17"/>
    </row>
    <row r="5" customFormat="false" ht="15" hidden="false" customHeight="false" outlineLevel="0" collapsed="false">
      <c r="A5" s="12" t="n">
        <v>46173</v>
      </c>
      <c r="B5" s="13"/>
      <c r="C5" s="14"/>
      <c r="D5" s="14"/>
      <c r="E5" s="14"/>
      <c r="F5" s="13"/>
      <c r="G5" s="14"/>
      <c r="H5" s="15" t="str">
        <f aca="false">IF(D5="","",IF(D5&gt;=Dashboard!$C$9,"✓","✗"))</f>
        <v/>
      </c>
      <c r="I5" s="15" t="str">
        <f aca="false">IF(C5="","",IF(AND(C5&gt;=Dashboard!$C$7,C5&lt;=Dashboard!$C$8),"✓","✗"))</f>
        <v/>
      </c>
      <c r="J5" s="16" t="str">
        <f aca="false">IFERROR(AVERAGE(B2:B5),"")</f>
        <v/>
      </c>
      <c r="K5" s="17"/>
    </row>
    <row r="6" customFormat="false" ht="15" hidden="false" customHeight="false" outlineLevel="0" collapsed="false">
      <c r="A6" s="12" t="n">
        <v>46174</v>
      </c>
      <c r="B6" s="13"/>
      <c r="C6" s="14"/>
      <c r="D6" s="14"/>
      <c r="E6" s="14"/>
      <c r="F6" s="13"/>
      <c r="G6" s="14"/>
      <c r="H6" s="15" t="str">
        <f aca="false">IF(D6="","",IF(D6&gt;=Dashboard!$C$9,"✓","✗"))</f>
        <v/>
      </c>
      <c r="I6" s="15" t="str">
        <f aca="false">IF(C6="","",IF(AND(C6&gt;=Dashboard!$C$7,C6&lt;=Dashboard!$C$8),"✓","✗"))</f>
        <v/>
      </c>
      <c r="J6" s="16" t="str">
        <f aca="false">IFERROR(AVERAGE(B2:B6),"")</f>
        <v/>
      </c>
      <c r="K6" s="17"/>
    </row>
    <row r="7" customFormat="false" ht="15" hidden="false" customHeight="false" outlineLevel="0" collapsed="false">
      <c r="A7" s="12" t="n">
        <v>46175</v>
      </c>
      <c r="B7" s="13"/>
      <c r="C7" s="14"/>
      <c r="D7" s="14"/>
      <c r="E7" s="14"/>
      <c r="F7" s="13"/>
      <c r="G7" s="14"/>
      <c r="H7" s="15" t="str">
        <f aca="false">IF(D7="","",IF(D7&gt;=Dashboard!$C$9,"✓","✗"))</f>
        <v/>
      </c>
      <c r="I7" s="15" t="str">
        <f aca="false">IF(C7="","",IF(AND(C7&gt;=Dashboard!$C$7,C7&lt;=Dashboard!$C$8),"✓","✗"))</f>
        <v/>
      </c>
      <c r="J7" s="16" t="str">
        <f aca="false">IFERROR(AVERAGE(B2:B7),"")</f>
        <v/>
      </c>
      <c r="K7" s="17"/>
    </row>
    <row r="8" customFormat="false" ht="15" hidden="false" customHeight="false" outlineLevel="0" collapsed="false">
      <c r="A8" s="12" t="n">
        <v>46176</v>
      </c>
      <c r="B8" s="13"/>
      <c r="C8" s="14"/>
      <c r="D8" s="14"/>
      <c r="E8" s="14"/>
      <c r="F8" s="13"/>
      <c r="G8" s="14"/>
      <c r="H8" s="15" t="str">
        <f aca="false">IF(D8="","",IF(D8&gt;=Dashboard!$C$9,"✓","✗"))</f>
        <v/>
      </c>
      <c r="I8" s="15" t="str">
        <f aca="false">IF(C8="","",IF(AND(C8&gt;=Dashboard!$C$7,C8&lt;=Dashboard!$C$8),"✓","✗"))</f>
        <v/>
      </c>
      <c r="J8" s="16" t="str">
        <f aca="false">IFERROR(AVERAGE(B2:B8),"")</f>
        <v/>
      </c>
      <c r="K8" s="17"/>
    </row>
    <row r="9" customFormat="false" ht="15" hidden="false" customHeight="false" outlineLevel="0" collapsed="false">
      <c r="A9" s="12" t="n">
        <v>46177</v>
      </c>
      <c r="B9" s="13"/>
      <c r="C9" s="14"/>
      <c r="D9" s="14"/>
      <c r="E9" s="14"/>
      <c r="F9" s="13"/>
      <c r="G9" s="14"/>
      <c r="H9" s="15" t="str">
        <f aca="false">IF(D9="","",IF(D9&gt;=Dashboard!$C$9,"✓","✗"))</f>
        <v/>
      </c>
      <c r="I9" s="15" t="str">
        <f aca="false">IF(C9="","",IF(AND(C9&gt;=Dashboard!$C$7,C9&lt;=Dashboard!$C$8),"✓","✗"))</f>
        <v/>
      </c>
      <c r="J9" s="16" t="str">
        <f aca="false">IFERROR(AVERAGE(B3:B9),"")</f>
        <v/>
      </c>
      <c r="K9" s="17"/>
    </row>
    <row r="10" customFormat="false" ht="15" hidden="false" customHeight="false" outlineLevel="0" collapsed="false">
      <c r="A10" s="12" t="n">
        <v>46178</v>
      </c>
      <c r="B10" s="13"/>
      <c r="C10" s="14"/>
      <c r="D10" s="14"/>
      <c r="E10" s="14"/>
      <c r="F10" s="13"/>
      <c r="G10" s="14"/>
      <c r="H10" s="15" t="str">
        <f aca="false">IF(D10="","",IF(D10&gt;=Dashboard!$C$9,"✓","✗"))</f>
        <v/>
      </c>
      <c r="I10" s="15" t="str">
        <f aca="false">IF(C10="","",IF(AND(C10&gt;=Dashboard!$C$7,C10&lt;=Dashboard!$C$8),"✓","✗"))</f>
        <v/>
      </c>
      <c r="J10" s="16" t="str">
        <f aca="false">IFERROR(AVERAGE(B4:B10),"")</f>
        <v/>
      </c>
      <c r="K10" s="17"/>
    </row>
    <row r="11" customFormat="false" ht="15" hidden="false" customHeight="false" outlineLevel="0" collapsed="false">
      <c r="A11" s="12" t="n">
        <v>46179</v>
      </c>
      <c r="B11" s="13"/>
      <c r="C11" s="14"/>
      <c r="D11" s="14"/>
      <c r="E11" s="14"/>
      <c r="F11" s="13"/>
      <c r="G11" s="14"/>
      <c r="H11" s="15" t="str">
        <f aca="false">IF(D11="","",IF(D11&gt;=Dashboard!$C$9,"✓","✗"))</f>
        <v/>
      </c>
      <c r="I11" s="15" t="str">
        <f aca="false">IF(C11="","",IF(AND(C11&gt;=Dashboard!$C$7,C11&lt;=Dashboard!$C$8),"✓","✗"))</f>
        <v/>
      </c>
      <c r="J11" s="16" t="str">
        <f aca="false">IFERROR(AVERAGE(B5:B11),"")</f>
        <v/>
      </c>
      <c r="K11" s="17"/>
    </row>
    <row r="12" customFormat="false" ht="15" hidden="false" customHeight="false" outlineLevel="0" collapsed="false">
      <c r="A12" s="12" t="n">
        <v>46180</v>
      </c>
      <c r="B12" s="13"/>
      <c r="C12" s="14"/>
      <c r="D12" s="14"/>
      <c r="E12" s="14"/>
      <c r="F12" s="13"/>
      <c r="G12" s="14"/>
      <c r="H12" s="15" t="str">
        <f aca="false">IF(D12="","",IF(D12&gt;=Dashboard!$C$9,"✓","✗"))</f>
        <v/>
      </c>
      <c r="I12" s="15" t="str">
        <f aca="false">IF(C12="","",IF(AND(C12&gt;=Dashboard!$C$7,C12&lt;=Dashboard!$C$8),"✓","✗"))</f>
        <v/>
      </c>
      <c r="J12" s="16" t="str">
        <f aca="false">IFERROR(AVERAGE(B6:B12),"")</f>
        <v/>
      </c>
      <c r="K12" s="17"/>
    </row>
    <row r="13" customFormat="false" ht="15" hidden="false" customHeight="false" outlineLevel="0" collapsed="false">
      <c r="A13" s="12" t="n">
        <v>46181</v>
      </c>
      <c r="B13" s="13"/>
      <c r="C13" s="14"/>
      <c r="D13" s="14"/>
      <c r="E13" s="14"/>
      <c r="F13" s="13"/>
      <c r="G13" s="14"/>
      <c r="H13" s="15" t="str">
        <f aca="false">IF(D13="","",IF(D13&gt;=Dashboard!$C$9,"✓","✗"))</f>
        <v/>
      </c>
      <c r="I13" s="15" t="str">
        <f aca="false">IF(C13="","",IF(AND(C13&gt;=Dashboard!$C$7,C13&lt;=Dashboard!$C$8),"✓","✗"))</f>
        <v/>
      </c>
      <c r="J13" s="16" t="str">
        <f aca="false">IFERROR(AVERAGE(B7:B13),"")</f>
        <v/>
      </c>
      <c r="K13" s="17"/>
    </row>
    <row r="14" customFormat="false" ht="15" hidden="false" customHeight="false" outlineLevel="0" collapsed="false">
      <c r="A14" s="12" t="n">
        <v>46182</v>
      </c>
      <c r="B14" s="13"/>
      <c r="C14" s="14"/>
      <c r="D14" s="14"/>
      <c r="E14" s="14"/>
      <c r="F14" s="13"/>
      <c r="G14" s="14"/>
      <c r="H14" s="15" t="str">
        <f aca="false">IF(D14="","",IF(D14&gt;=Dashboard!$C$9,"✓","✗"))</f>
        <v/>
      </c>
      <c r="I14" s="15" t="str">
        <f aca="false">IF(C14="","",IF(AND(C14&gt;=Dashboard!$C$7,C14&lt;=Dashboard!$C$8),"✓","✗"))</f>
        <v/>
      </c>
      <c r="J14" s="16" t="str">
        <f aca="false">IFERROR(AVERAGE(B8:B14),"")</f>
        <v/>
      </c>
      <c r="K14" s="17"/>
    </row>
    <row r="15" customFormat="false" ht="15" hidden="false" customHeight="false" outlineLevel="0" collapsed="false">
      <c r="A15" s="12" t="n">
        <v>46183</v>
      </c>
      <c r="B15" s="13"/>
      <c r="C15" s="14"/>
      <c r="D15" s="14"/>
      <c r="E15" s="14"/>
      <c r="F15" s="13"/>
      <c r="G15" s="14"/>
      <c r="H15" s="15" t="str">
        <f aca="false">IF(D15="","",IF(D15&gt;=Dashboard!$C$9,"✓","✗"))</f>
        <v/>
      </c>
      <c r="I15" s="15" t="str">
        <f aca="false">IF(C15="","",IF(AND(C15&gt;=Dashboard!$C$7,C15&lt;=Dashboard!$C$8),"✓","✗"))</f>
        <v/>
      </c>
      <c r="J15" s="16" t="str">
        <f aca="false">IFERROR(AVERAGE(B9:B15),"")</f>
        <v/>
      </c>
      <c r="K15" s="17"/>
    </row>
    <row r="16" customFormat="false" ht="15" hidden="false" customHeight="false" outlineLevel="0" collapsed="false">
      <c r="A16" s="12" t="n">
        <v>46184</v>
      </c>
      <c r="B16" s="13"/>
      <c r="C16" s="14"/>
      <c r="D16" s="14"/>
      <c r="E16" s="14"/>
      <c r="F16" s="13"/>
      <c r="G16" s="14"/>
      <c r="H16" s="15" t="str">
        <f aca="false">IF(D16="","",IF(D16&gt;=Dashboard!$C$9,"✓","✗"))</f>
        <v/>
      </c>
      <c r="I16" s="15" t="str">
        <f aca="false">IF(C16="","",IF(AND(C16&gt;=Dashboard!$C$7,C16&lt;=Dashboard!$C$8),"✓","✗"))</f>
        <v/>
      </c>
      <c r="J16" s="16" t="str">
        <f aca="false">IFERROR(AVERAGE(B10:B16),"")</f>
        <v/>
      </c>
      <c r="K16" s="17"/>
    </row>
    <row r="17" customFormat="false" ht="15" hidden="false" customHeight="false" outlineLevel="0" collapsed="false">
      <c r="A17" s="12" t="n">
        <v>46185</v>
      </c>
      <c r="B17" s="13"/>
      <c r="C17" s="14"/>
      <c r="D17" s="14"/>
      <c r="E17" s="14"/>
      <c r="F17" s="13"/>
      <c r="G17" s="14"/>
      <c r="H17" s="15" t="str">
        <f aca="false">IF(D17="","",IF(D17&gt;=Dashboard!$C$9,"✓","✗"))</f>
        <v/>
      </c>
      <c r="I17" s="15" t="str">
        <f aca="false">IF(C17="","",IF(AND(C17&gt;=Dashboard!$C$7,C17&lt;=Dashboard!$C$8),"✓","✗"))</f>
        <v/>
      </c>
      <c r="J17" s="16" t="str">
        <f aca="false">IFERROR(AVERAGE(B11:B17),"")</f>
        <v/>
      </c>
      <c r="K17" s="17"/>
    </row>
    <row r="18" customFormat="false" ht="15" hidden="false" customHeight="false" outlineLevel="0" collapsed="false">
      <c r="A18" s="12" t="n">
        <v>46186</v>
      </c>
      <c r="B18" s="13"/>
      <c r="C18" s="14"/>
      <c r="D18" s="14"/>
      <c r="E18" s="14"/>
      <c r="F18" s="13"/>
      <c r="G18" s="14"/>
      <c r="H18" s="15" t="str">
        <f aca="false">IF(D18="","",IF(D18&gt;=Dashboard!$C$9,"✓","✗"))</f>
        <v/>
      </c>
      <c r="I18" s="15" t="str">
        <f aca="false">IF(C18="","",IF(AND(C18&gt;=Dashboard!$C$7,C18&lt;=Dashboard!$C$8),"✓","✗"))</f>
        <v/>
      </c>
      <c r="J18" s="16" t="str">
        <f aca="false">IFERROR(AVERAGE(B12:B18),"")</f>
        <v/>
      </c>
      <c r="K18" s="17"/>
    </row>
    <row r="19" customFormat="false" ht="15" hidden="false" customHeight="false" outlineLevel="0" collapsed="false">
      <c r="A19" s="12" t="n">
        <v>46187</v>
      </c>
      <c r="B19" s="13"/>
      <c r="C19" s="14"/>
      <c r="D19" s="14"/>
      <c r="E19" s="14"/>
      <c r="F19" s="13"/>
      <c r="G19" s="14"/>
      <c r="H19" s="15" t="str">
        <f aca="false">IF(D19="","",IF(D19&gt;=Dashboard!$C$9,"✓","✗"))</f>
        <v/>
      </c>
      <c r="I19" s="15" t="str">
        <f aca="false">IF(C19="","",IF(AND(C19&gt;=Dashboard!$C$7,C19&lt;=Dashboard!$C$8),"✓","✗"))</f>
        <v/>
      </c>
      <c r="J19" s="16" t="str">
        <f aca="false">IFERROR(AVERAGE(B13:B19),"")</f>
        <v/>
      </c>
      <c r="K19" s="17"/>
    </row>
    <row r="20" customFormat="false" ht="15" hidden="false" customHeight="false" outlineLevel="0" collapsed="false">
      <c r="A20" s="12" t="n">
        <v>46188</v>
      </c>
      <c r="B20" s="13"/>
      <c r="C20" s="14"/>
      <c r="D20" s="14"/>
      <c r="E20" s="14"/>
      <c r="F20" s="13"/>
      <c r="G20" s="14"/>
      <c r="H20" s="15" t="str">
        <f aca="false">IF(D20="","",IF(D20&gt;=Dashboard!$C$9,"✓","✗"))</f>
        <v/>
      </c>
      <c r="I20" s="15" t="str">
        <f aca="false">IF(C20="","",IF(AND(C20&gt;=Dashboard!$C$7,C20&lt;=Dashboard!$C$8),"✓","✗"))</f>
        <v/>
      </c>
      <c r="J20" s="16" t="str">
        <f aca="false">IFERROR(AVERAGE(B14:B20),"")</f>
        <v/>
      </c>
      <c r="K20" s="17"/>
    </row>
    <row r="21" customFormat="false" ht="15" hidden="false" customHeight="false" outlineLevel="0" collapsed="false">
      <c r="A21" s="12" t="n">
        <v>46189</v>
      </c>
      <c r="B21" s="13"/>
      <c r="C21" s="14"/>
      <c r="D21" s="14"/>
      <c r="E21" s="14"/>
      <c r="F21" s="13"/>
      <c r="G21" s="14"/>
      <c r="H21" s="15" t="str">
        <f aca="false">IF(D21="","",IF(D21&gt;=Dashboard!$C$9,"✓","✗"))</f>
        <v/>
      </c>
      <c r="I21" s="15" t="str">
        <f aca="false">IF(C21="","",IF(AND(C21&gt;=Dashboard!$C$7,C21&lt;=Dashboard!$C$8),"✓","✗"))</f>
        <v/>
      </c>
      <c r="J21" s="16" t="str">
        <f aca="false">IFERROR(AVERAGE(B15:B21),"")</f>
        <v/>
      </c>
      <c r="K21" s="17"/>
    </row>
    <row r="22" customFormat="false" ht="15" hidden="false" customHeight="false" outlineLevel="0" collapsed="false">
      <c r="A22" s="12" t="n">
        <v>46190</v>
      </c>
      <c r="B22" s="13"/>
      <c r="C22" s="14"/>
      <c r="D22" s="14"/>
      <c r="E22" s="14"/>
      <c r="F22" s="13"/>
      <c r="G22" s="14"/>
      <c r="H22" s="15" t="str">
        <f aca="false">IF(D22="","",IF(D22&gt;=Dashboard!$C$9,"✓","✗"))</f>
        <v/>
      </c>
      <c r="I22" s="15" t="str">
        <f aca="false">IF(C22="","",IF(AND(C22&gt;=Dashboard!$C$7,C22&lt;=Dashboard!$C$8),"✓","✗"))</f>
        <v/>
      </c>
      <c r="J22" s="16" t="str">
        <f aca="false">IFERROR(AVERAGE(B16:B22),"")</f>
        <v/>
      </c>
      <c r="K22" s="17"/>
    </row>
    <row r="23" customFormat="false" ht="15" hidden="false" customHeight="false" outlineLevel="0" collapsed="false">
      <c r="A23" s="12" t="n">
        <v>46191</v>
      </c>
      <c r="B23" s="13"/>
      <c r="C23" s="14"/>
      <c r="D23" s="14"/>
      <c r="E23" s="14"/>
      <c r="F23" s="13"/>
      <c r="G23" s="14"/>
      <c r="H23" s="15" t="str">
        <f aca="false">IF(D23="","",IF(D23&gt;=Dashboard!$C$9,"✓","✗"))</f>
        <v/>
      </c>
      <c r="I23" s="15" t="str">
        <f aca="false">IF(C23="","",IF(AND(C23&gt;=Dashboard!$C$7,C23&lt;=Dashboard!$C$8),"✓","✗"))</f>
        <v/>
      </c>
      <c r="J23" s="16" t="str">
        <f aca="false">IFERROR(AVERAGE(B17:B23),"")</f>
        <v/>
      </c>
      <c r="K23" s="17"/>
    </row>
    <row r="24" customFormat="false" ht="15" hidden="false" customHeight="false" outlineLevel="0" collapsed="false">
      <c r="A24" s="12" t="n">
        <v>46192</v>
      </c>
      <c r="B24" s="13"/>
      <c r="C24" s="14"/>
      <c r="D24" s="14"/>
      <c r="E24" s="14"/>
      <c r="F24" s="13"/>
      <c r="G24" s="14"/>
      <c r="H24" s="15" t="str">
        <f aca="false">IF(D24="","",IF(D24&gt;=Dashboard!$C$9,"✓","✗"))</f>
        <v/>
      </c>
      <c r="I24" s="15" t="str">
        <f aca="false">IF(C24="","",IF(AND(C24&gt;=Dashboard!$C$7,C24&lt;=Dashboard!$C$8),"✓","✗"))</f>
        <v/>
      </c>
      <c r="J24" s="16" t="str">
        <f aca="false">IFERROR(AVERAGE(B18:B24),"")</f>
        <v/>
      </c>
      <c r="K24" s="17"/>
    </row>
    <row r="25" customFormat="false" ht="15" hidden="false" customHeight="false" outlineLevel="0" collapsed="false">
      <c r="A25" s="12" t="n">
        <v>46193</v>
      </c>
      <c r="B25" s="13"/>
      <c r="C25" s="14"/>
      <c r="D25" s="14"/>
      <c r="E25" s="14"/>
      <c r="F25" s="13"/>
      <c r="G25" s="14"/>
      <c r="H25" s="15" t="str">
        <f aca="false">IF(D25="","",IF(D25&gt;=Dashboard!$C$9,"✓","✗"))</f>
        <v/>
      </c>
      <c r="I25" s="15" t="str">
        <f aca="false">IF(C25="","",IF(AND(C25&gt;=Dashboard!$C$7,C25&lt;=Dashboard!$C$8),"✓","✗"))</f>
        <v/>
      </c>
      <c r="J25" s="16" t="str">
        <f aca="false">IFERROR(AVERAGE(B19:B25),"")</f>
        <v/>
      </c>
      <c r="K25" s="17"/>
    </row>
    <row r="26" customFormat="false" ht="15" hidden="false" customHeight="false" outlineLevel="0" collapsed="false">
      <c r="A26" s="12" t="n">
        <v>46194</v>
      </c>
      <c r="B26" s="13"/>
      <c r="C26" s="14"/>
      <c r="D26" s="14"/>
      <c r="E26" s="14"/>
      <c r="F26" s="13"/>
      <c r="G26" s="14"/>
      <c r="H26" s="15" t="str">
        <f aca="false">IF(D26="","",IF(D26&gt;=Dashboard!$C$9,"✓","✗"))</f>
        <v/>
      </c>
      <c r="I26" s="15" t="str">
        <f aca="false">IF(C26="","",IF(AND(C26&gt;=Dashboard!$C$7,C26&lt;=Dashboard!$C$8),"✓","✗"))</f>
        <v/>
      </c>
      <c r="J26" s="16" t="str">
        <f aca="false">IFERROR(AVERAGE(B20:B26),"")</f>
        <v/>
      </c>
      <c r="K26" s="17"/>
    </row>
    <row r="27" customFormat="false" ht="15" hidden="false" customHeight="false" outlineLevel="0" collapsed="false">
      <c r="A27" s="12" t="n">
        <v>46195</v>
      </c>
      <c r="B27" s="13"/>
      <c r="C27" s="14"/>
      <c r="D27" s="14"/>
      <c r="E27" s="14"/>
      <c r="F27" s="13"/>
      <c r="G27" s="14"/>
      <c r="H27" s="15" t="str">
        <f aca="false">IF(D27="","",IF(D27&gt;=Dashboard!$C$9,"✓","✗"))</f>
        <v/>
      </c>
      <c r="I27" s="15" t="str">
        <f aca="false">IF(C27="","",IF(AND(C27&gt;=Dashboard!$C$7,C27&lt;=Dashboard!$C$8),"✓","✗"))</f>
        <v/>
      </c>
      <c r="J27" s="16" t="str">
        <f aca="false">IFERROR(AVERAGE(B21:B27),"")</f>
        <v/>
      </c>
      <c r="K27" s="17"/>
    </row>
    <row r="28" customFormat="false" ht="15" hidden="false" customHeight="false" outlineLevel="0" collapsed="false">
      <c r="A28" s="12" t="n">
        <v>46196</v>
      </c>
      <c r="B28" s="13"/>
      <c r="C28" s="14"/>
      <c r="D28" s="14"/>
      <c r="E28" s="14"/>
      <c r="F28" s="13"/>
      <c r="G28" s="14"/>
      <c r="H28" s="15" t="str">
        <f aca="false">IF(D28="","",IF(D28&gt;=Dashboard!$C$9,"✓","✗"))</f>
        <v/>
      </c>
      <c r="I28" s="15" t="str">
        <f aca="false">IF(C28="","",IF(AND(C28&gt;=Dashboard!$C$7,C28&lt;=Dashboard!$C$8),"✓","✗"))</f>
        <v/>
      </c>
      <c r="J28" s="16" t="str">
        <f aca="false">IFERROR(AVERAGE(B22:B28),"")</f>
        <v/>
      </c>
      <c r="K28" s="17"/>
    </row>
    <row r="29" customFormat="false" ht="15" hidden="false" customHeight="false" outlineLevel="0" collapsed="false">
      <c r="A29" s="12" t="n">
        <v>46197</v>
      </c>
      <c r="B29" s="13"/>
      <c r="C29" s="14"/>
      <c r="D29" s="14"/>
      <c r="E29" s="14"/>
      <c r="F29" s="13"/>
      <c r="G29" s="14"/>
      <c r="H29" s="15" t="str">
        <f aca="false">IF(D29="","",IF(D29&gt;=Dashboard!$C$9,"✓","✗"))</f>
        <v/>
      </c>
      <c r="I29" s="15" t="str">
        <f aca="false">IF(C29="","",IF(AND(C29&gt;=Dashboard!$C$7,C29&lt;=Dashboard!$C$8),"✓","✗"))</f>
        <v/>
      </c>
      <c r="J29" s="16" t="str">
        <f aca="false">IFERROR(AVERAGE(B23:B29),"")</f>
        <v/>
      </c>
      <c r="K29" s="17"/>
    </row>
    <row r="30" customFormat="false" ht="15" hidden="false" customHeight="false" outlineLevel="0" collapsed="false">
      <c r="A30" s="12" t="n">
        <v>46198</v>
      </c>
      <c r="B30" s="13"/>
      <c r="C30" s="14"/>
      <c r="D30" s="14"/>
      <c r="E30" s="14"/>
      <c r="F30" s="13"/>
      <c r="G30" s="14"/>
      <c r="H30" s="15" t="str">
        <f aca="false">IF(D30="","",IF(D30&gt;=Dashboard!$C$9,"✓","✗"))</f>
        <v/>
      </c>
      <c r="I30" s="15" t="str">
        <f aca="false">IF(C30="","",IF(AND(C30&gt;=Dashboard!$C$7,C30&lt;=Dashboard!$C$8),"✓","✗"))</f>
        <v/>
      </c>
      <c r="J30" s="16" t="str">
        <f aca="false">IFERROR(AVERAGE(B24:B30),"")</f>
        <v/>
      </c>
      <c r="K30" s="17"/>
    </row>
    <row r="31" customFormat="false" ht="15" hidden="false" customHeight="false" outlineLevel="0" collapsed="false">
      <c r="A31" s="12" t="n">
        <v>46199</v>
      </c>
      <c r="B31" s="13"/>
      <c r="C31" s="14"/>
      <c r="D31" s="14"/>
      <c r="E31" s="14"/>
      <c r="F31" s="13"/>
      <c r="G31" s="14"/>
      <c r="H31" s="15" t="str">
        <f aca="false">IF(D31="","",IF(D31&gt;=Dashboard!$C$9,"✓","✗"))</f>
        <v/>
      </c>
      <c r="I31" s="15" t="str">
        <f aca="false">IF(C31="","",IF(AND(C31&gt;=Dashboard!$C$7,C31&lt;=Dashboard!$C$8),"✓","✗"))</f>
        <v/>
      </c>
      <c r="J31" s="16" t="str">
        <f aca="false">IFERROR(AVERAGE(B25:B31),"")</f>
        <v/>
      </c>
      <c r="K31" s="17"/>
    </row>
    <row r="32" customFormat="false" ht="15" hidden="false" customHeight="false" outlineLevel="0" collapsed="false">
      <c r="A32" s="12" t="n">
        <v>46200</v>
      </c>
      <c r="B32" s="13"/>
      <c r="C32" s="14"/>
      <c r="D32" s="14"/>
      <c r="E32" s="14"/>
      <c r="F32" s="13"/>
      <c r="G32" s="14"/>
      <c r="H32" s="15" t="str">
        <f aca="false">IF(D32="","",IF(D32&gt;=Dashboard!$C$9,"✓","✗"))</f>
        <v/>
      </c>
      <c r="I32" s="15" t="str">
        <f aca="false">IF(C32="","",IF(AND(C32&gt;=Dashboard!$C$7,C32&lt;=Dashboard!$C$8),"✓","✗"))</f>
        <v/>
      </c>
      <c r="J32" s="16" t="str">
        <f aca="false">IFERROR(AVERAGE(B26:B32),"")</f>
        <v/>
      </c>
      <c r="K32" s="17"/>
    </row>
    <row r="33" customFormat="false" ht="15" hidden="false" customHeight="false" outlineLevel="0" collapsed="false">
      <c r="A33" s="12" t="n">
        <v>46201</v>
      </c>
      <c r="B33" s="13"/>
      <c r="C33" s="14"/>
      <c r="D33" s="14"/>
      <c r="E33" s="14"/>
      <c r="F33" s="13"/>
      <c r="G33" s="14"/>
      <c r="H33" s="15" t="str">
        <f aca="false">IF(D33="","",IF(D33&gt;=Dashboard!$C$9,"✓","✗"))</f>
        <v/>
      </c>
      <c r="I33" s="15" t="str">
        <f aca="false">IF(C33="","",IF(AND(C33&gt;=Dashboard!$C$7,C33&lt;=Dashboard!$C$8),"✓","✗"))</f>
        <v/>
      </c>
      <c r="J33" s="16" t="str">
        <f aca="false">IFERROR(AVERAGE(B27:B33),"")</f>
        <v/>
      </c>
      <c r="K33" s="17"/>
    </row>
    <row r="34" customFormat="false" ht="15" hidden="false" customHeight="false" outlineLevel="0" collapsed="false">
      <c r="A34" s="12" t="n">
        <v>46202</v>
      </c>
      <c r="B34" s="13"/>
      <c r="C34" s="14"/>
      <c r="D34" s="14"/>
      <c r="E34" s="14"/>
      <c r="F34" s="13"/>
      <c r="G34" s="14"/>
      <c r="H34" s="15" t="str">
        <f aca="false">IF(D34="","",IF(D34&gt;=Dashboard!$C$9,"✓","✗"))</f>
        <v/>
      </c>
      <c r="I34" s="15" t="str">
        <f aca="false">IF(C34="","",IF(AND(C34&gt;=Dashboard!$C$7,C34&lt;=Dashboard!$C$8),"✓","✗"))</f>
        <v/>
      </c>
      <c r="J34" s="16" t="str">
        <f aca="false">IFERROR(AVERAGE(B28:B34),"")</f>
        <v/>
      </c>
      <c r="K34" s="17"/>
    </row>
    <row r="35" customFormat="false" ht="15" hidden="false" customHeight="false" outlineLevel="0" collapsed="false">
      <c r="A35" s="12" t="n">
        <v>46203</v>
      </c>
      <c r="B35" s="13"/>
      <c r="C35" s="14"/>
      <c r="D35" s="14"/>
      <c r="E35" s="14"/>
      <c r="F35" s="13"/>
      <c r="G35" s="14"/>
      <c r="H35" s="15" t="str">
        <f aca="false">IF(D35="","",IF(D35&gt;=Dashboard!$C$9,"✓","✗"))</f>
        <v/>
      </c>
      <c r="I35" s="15" t="str">
        <f aca="false">IF(C35="","",IF(AND(C35&gt;=Dashboard!$C$7,C35&lt;=Dashboard!$C$8),"✓","✗"))</f>
        <v/>
      </c>
      <c r="J35" s="16" t="str">
        <f aca="false">IFERROR(AVERAGE(B29:B35),"")</f>
        <v/>
      </c>
      <c r="K35" s="17"/>
    </row>
    <row r="36" customFormat="false" ht="15" hidden="false" customHeight="false" outlineLevel="0" collapsed="false">
      <c r="A36" s="12" t="n">
        <v>46204</v>
      </c>
      <c r="B36" s="13"/>
      <c r="C36" s="14"/>
      <c r="D36" s="14"/>
      <c r="E36" s="14"/>
      <c r="F36" s="13"/>
      <c r="G36" s="14"/>
      <c r="H36" s="15" t="str">
        <f aca="false">IF(D36="","",IF(D36&gt;=Dashboard!$C$9,"✓","✗"))</f>
        <v/>
      </c>
      <c r="I36" s="15" t="str">
        <f aca="false">IF(C36="","",IF(AND(C36&gt;=Dashboard!$C$7,C36&lt;=Dashboard!$C$8),"✓","✗"))</f>
        <v/>
      </c>
      <c r="J36" s="16" t="str">
        <f aca="false">IFERROR(AVERAGE(B30:B36),"")</f>
        <v/>
      </c>
      <c r="K36" s="17"/>
    </row>
    <row r="37" customFormat="false" ht="15" hidden="false" customHeight="false" outlineLevel="0" collapsed="false">
      <c r="A37" s="12" t="n">
        <v>46205</v>
      </c>
      <c r="B37" s="13"/>
      <c r="C37" s="14"/>
      <c r="D37" s="14"/>
      <c r="E37" s="14"/>
      <c r="F37" s="13"/>
      <c r="G37" s="14"/>
      <c r="H37" s="15" t="str">
        <f aca="false">IF(D37="","",IF(D37&gt;=Dashboard!$C$9,"✓","✗"))</f>
        <v/>
      </c>
      <c r="I37" s="15" t="str">
        <f aca="false">IF(C37="","",IF(AND(C37&gt;=Dashboard!$C$7,C37&lt;=Dashboard!$C$8),"✓","✗"))</f>
        <v/>
      </c>
      <c r="J37" s="16" t="str">
        <f aca="false">IFERROR(AVERAGE(B31:B37),"")</f>
        <v/>
      </c>
      <c r="K37" s="17"/>
    </row>
    <row r="38" customFormat="false" ht="15" hidden="false" customHeight="false" outlineLevel="0" collapsed="false">
      <c r="A38" s="12" t="n">
        <v>46206</v>
      </c>
      <c r="B38" s="13"/>
      <c r="C38" s="14"/>
      <c r="D38" s="14"/>
      <c r="E38" s="14"/>
      <c r="F38" s="13"/>
      <c r="G38" s="14"/>
      <c r="H38" s="15" t="str">
        <f aca="false">IF(D38="","",IF(D38&gt;=Dashboard!$C$9,"✓","✗"))</f>
        <v/>
      </c>
      <c r="I38" s="15" t="str">
        <f aca="false">IF(C38="","",IF(AND(C38&gt;=Dashboard!$C$7,C38&lt;=Dashboard!$C$8),"✓","✗"))</f>
        <v/>
      </c>
      <c r="J38" s="16" t="str">
        <f aca="false">IFERROR(AVERAGE(B32:B38),"")</f>
        <v/>
      </c>
      <c r="K38" s="17"/>
    </row>
    <row r="39" customFormat="false" ht="15" hidden="false" customHeight="false" outlineLevel="0" collapsed="false">
      <c r="A39" s="12" t="n">
        <v>46207</v>
      </c>
      <c r="B39" s="13"/>
      <c r="C39" s="14"/>
      <c r="D39" s="14"/>
      <c r="E39" s="14"/>
      <c r="F39" s="13"/>
      <c r="G39" s="14"/>
      <c r="H39" s="15" t="str">
        <f aca="false">IF(D39="","",IF(D39&gt;=Dashboard!$C$9,"✓","✗"))</f>
        <v/>
      </c>
      <c r="I39" s="15" t="str">
        <f aca="false">IF(C39="","",IF(AND(C39&gt;=Dashboard!$C$7,C39&lt;=Dashboard!$C$8),"✓","✗"))</f>
        <v/>
      </c>
      <c r="J39" s="16" t="str">
        <f aca="false">IFERROR(AVERAGE(B33:B39),"")</f>
        <v/>
      </c>
      <c r="K39" s="17"/>
    </row>
    <row r="40" customFormat="false" ht="15" hidden="false" customHeight="false" outlineLevel="0" collapsed="false">
      <c r="A40" s="12" t="n">
        <v>46208</v>
      </c>
      <c r="B40" s="13"/>
      <c r="C40" s="14"/>
      <c r="D40" s="14"/>
      <c r="E40" s="14"/>
      <c r="F40" s="13"/>
      <c r="G40" s="14"/>
      <c r="H40" s="15" t="str">
        <f aca="false">IF(D40="","",IF(D40&gt;=Dashboard!$C$9,"✓","✗"))</f>
        <v/>
      </c>
      <c r="I40" s="15" t="str">
        <f aca="false">IF(C40="","",IF(AND(C40&gt;=Dashboard!$C$7,C40&lt;=Dashboard!$C$8),"✓","✗"))</f>
        <v/>
      </c>
      <c r="J40" s="16" t="str">
        <f aca="false">IFERROR(AVERAGE(B34:B40),"")</f>
        <v/>
      </c>
      <c r="K40" s="17"/>
    </row>
    <row r="41" customFormat="false" ht="15" hidden="false" customHeight="false" outlineLevel="0" collapsed="false">
      <c r="A41" s="12" t="n">
        <v>46209</v>
      </c>
      <c r="B41" s="13"/>
      <c r="C41" s="14"/>
      <c r="D41" s="14"/>
      <c r="E41" s="14"/>
      <c r="F41" s="13"/>
      <c r="G41" s="14"/>
      <c r="H41" s="15" t="str">
        <f aca="false">IF(D41="","",IF(D41&gt;=Dashboard!$C$9,"✓","✗"))</f>
        <v/>
      </c>
      <c r="I41" s="15" t="str">
        <f aca="false">IF(C41="","",IF(AND(C41&gt;=Dashboard!$C$7,C41&lt;=Dashboard!$C$8),"✓","✗"))</f>
        <v/>
      </c>
      <c r="J41" s="16" t="str">
        <f aca="false">IFERROR(AVERAGE(B35:B41),"")</f>
        <v/>
      </c>
      <c r="K41" s="17"/>
    </row>
    <row r="42" customFormat="false" ht="15" hidden="false" customHeight="false" outlineLevel="0" collapsed="false">
      <c r="A42" s="12" t="n">
        <v>46210</v>
      </c>
      <c r="B42" s="13"/>
      <c r="C42" s="14"/>
      <c r="D42" s="14"/>
      <c r="E42" s="14"/>
      <c r="F42" s="13"/>
      <c r="G42" s="14"/>
      <c r="H42" s="15" t="str">
        <f aca="false">IF(D42="","",IF(D42&gt;=Dashboard!$C$9,"✓","✗"))</f>
        <v/>
      </c>
      <c r="I42" s="15" t="str">
        <f aca="false">IF(C42="","",IF(AND(C42&gt;=Dashboard!$C$7,C42&lt;=Dashboard!$C$8),"✓","✗"))</f>
        <v/>
      </c>
      <c r="J42" s="16" t="str">
        <f aca="false">IFERROR(AVERAGE(B36:B42),"")</f>
        <v/>
      </c>
      <c r="K42" s="17"/>
    </row>
    <row r="43" customFormat="false" ht="15" hidden="false" customHeight="false" outlineLevel="0" collapsed="false">
      <c r="A43" s="12" t="n">
        <v>46211</v>
      </c>
      <c r="B43" s="13"/>
      <c r="C43" s="14"/>
      <c r="D43" s="14"/>
      <c r="E43" s="14"/>
      <c r="F43" s="13"/>
      <c r="G43" s="14"/>
      <c r="H43" s="15" t="str">
        <f aca="false">IF(D43="","",IF(D43&gt;=Dashboard!$C$9,"✓","✗"))</f>
        <v/>
      </c>
      <c r="I43" s="15" t="str">
        <f aca="false">IF(C43="","",IF(AND(C43&gt;=Dashboard!$C$7,C43&lt;=Dashboard!$C$8),"✓","✗"))</f>
        <v/>
      </c>
      <c r="J43" s="16" t="str">
        <f aca="false">IFERROR(AVERAGE(B37:B43),"")</f>
        <v/>
      </c>
      <c r="K43" s="17"/>
    </row>
  </sheetData>
  <conditionalFormatting sqref="D2:D43">
    <cfRule type="expression" priority="2" aboveAverage="0" equalAverage="0" bottom="0" percent="0" rank="0" text="" dxfId="0">
      <formula>AND(D2&lt;&gt;"",D2&gt;=Dashboard!$C$9)</formula>
    </cfRule>
    <cfRule type="expression" priority="3" aboveAverage="0" equalAverage="0" bottom="0" percent="0" rank="0" text="" dxfId="1">
      <formula>AND(D2&lt;&gt;"",D2&lt;Dashboard!$C$9)</formula>
    </cfRule>
  </conditionalFormatting>
  <conditionalFormatting sqref="C2:C43">
    <cfRule type="expression" priority="4" aboveAverage="0" equalAverage="0" bottom="0" percent="0" rank="0" text="" dxfId="2">
      <formula>AND(C2&lt;&gt;"",OR(C2&lt;Dashboard!$C$7,C2&gt;Dashboard!$C$8))</formula>
    </cfRule>
    <cfRule type="expression" priority="5" aboveAverage="0" equalAverage="0" bottom="0" percent="0" rank="0" text="" dxfId="0">
      <formula>AND(C2&lt;&gt;"",C2&gt;=Dashboard!$C$7,C2&lt;=Dashboard!$C$8)</formula>
    </cfRule>
  </conditionalFormatting>
  <conditionalFormatting sqref="E2:E43">
    <cfRule type="expression" priority="6" aboveAverage="0" equalAverage="0" bottom="0" percent="0" rank="0" text="" dxfId="0">
      <formula>AND(E2&lt;&gt;"",E2&gt;=Dashboard!$C$10)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5" min="3" style="0" width="12"/>
    <col collapsed="false" customWidth="true" hidden="false" outlineLevel="0" max="6" min="6" style="0" width="14"/>
  </cols>
  <sheetData>
    <row r="2" customFormat="false" ht="17.35" hidden="false" customHeight="false" outlineLevel="0" collapsed="false">
      <c r="B2" s="18" t="s">
        <v>32</v>
      </c>
    </row>
    <row r="3" customFormat="false" ht="15" hidden="false" customHeight="false" outlineLevel="0" collapsed="false">
      <c r="B3" s="2" t="s">
        <v>33</v>
      </c>
    </row>
    <row r="5" customFormat="false" ht="15" hidden="false" customHeight="false" outlineLevel="0" collapsed="false">
      <c r="B5" s="3" t="s">
        <v>34</v>
      </c>
      <c r="C5" s="19" t="s">
        <v>35</v>
      </c>
      <c r="D5" s="19" t="s">
        <v>36</v>
      </c>
      <c r="E5" s="19" t="s">
        <v>37</v>
      </c>
      <c r="F5" s="19" t="s">
        <v>38</v>
      </c>
    </row>
    <row r="6" customFormat="false" ht="15" hidden="false" customHeight="false" outlineLevel="0" collapsed="false">
      <c r="B6" s="20" t="s">
        <v>39</v>
      </c>
      <c r="C6" s="21" t="s">
        <v>40</v>
      </c>
      <c r="D6" s="22" t="n">
        <v>200</v>
      </c>
      <c r="E6" s="22" t="n">
        <v>16</v>
      </c>
      <c r="F6" s="22" t="n">
        <v>600</v>
      </c>
    </row>
    <row r="7" customFormat="false" ht="15" hidden="false" customHeight="false" outlineLevel="0" collapsed="false">
      <c r="B7" s="20" t="s">
        <v>41</v>
      </c>
      <c r="C7" s="21" t="s">
        <v>42</v>
      </c>
      <c r="D7" s="22" t="n">
        <v>270</v>
      </c>
      <c r="E7" s="22" t="n">
        <v>24</v>
      </c>
      <c r="F7" s="22" t="n">
        <v>300</v>
      </c>
    </row>
    <row r="8" customFormat="false" ht="15" hidden="false" customHeight="false" outlineLevel="0" collapsed="false">
      <c r="B8" s="20" t="s">
        <v>43</v>
      </c>
      <c r="C8" s="21" t="s">
        <v>42</v>
      </c>
      <c r="D8" s="22" t="n">
        <v>280</v>
      </c>
      <c r="E8" s="22" t="n">
        <v>34</v>
      </c>
      <c r="F8" s="22" t="n">
        <v>280</v>
      </c>
    </row>
    <row r="9" customFormat="false" ht="15" hidden="false" customHeight="false" outlineLevel="0" collapsed="false">
      <c r="B9" s="20" t="s">
        <v>44</v>
      </c>
      <c r="C9" s="21" t="s">
        <v>42</v>
      </c>
      <c r="D9" s="22" t="n">
        <v>300</v>
      </c>
      <c r="E9" s="22" t="n">
        <v>26</v>
      </c>
      <c r="F9" s="22" t="n">
        <v>300</v>
      </c>
    </row>
    <row r="10" customFormat="false" ht="15" hidden="false" customHeight="false" outlineLevel="0" collapsed="false">
      <c r="B10" s="20" t="s">
        <v>45</v>
      </c>
      <c r="C10" s="21" t="s">
        <v>42</v>
      </c>
      <c r="D10" s="22" t="n">
        <v>260</v>
      </c>
      <c r="E10" s="22" t="n">
        <v>22</v>
      </c>
      <c r="F10" s="22" t="n">
        <v>200</v>
      </c>
    </row>
    <row r="11" customFormat="false" ht="15" hidden="false" customHeight="false" outlineLevel="0" collapsed="false">
      <c r="B11" s="20" t="s">
        <v>46</v>
      </c>
      <c r="C11" s="21" t="s">
        <v>42</v>
      </c>
      <c r="D11" s="22" t="n">
        <v>250</v>
      </c>
      <c r="E11" s="22" t="n">
        <v>23</v>
      </c>
      <c r="F11" s="22" t="n">
        <v>350</v>
      </c>
    </row>
    <row r="12" customFormat="false" ht="15" hidden="false" customHeight="false" outlineLevel="0" collapsed="false">
      <c r="B12" s="20" t="s">
        <v>47</v>
      </c>
      <c r="C12" s="21" t="s">
        <v>48</v>
      </c>
      <c r="D12" s="22" t="n">
        <v>380</v>
      </c>
      <c r="E12" s="22" t="n">
        <v>32</v>
      </c>
      <c r="F12" s="22" t="n">
        <v>350</v>
      </c>
    </row>
    <row r="13" customFormat="false" ht="15" hidden="false" customHeight="false" outlineLevel="0" collapsed="false">
      <c r="B13" s="20" t="s">
        <v>49</v>
      </c>
      <c r="C13" s="21" t="s">
        <v>48</v>
      </c>
      <c r="D13" s="22" t="n">
        <v>340</v>
      </c>
      <c r="E13" s="22" t="n">
        <v>22</v>
      </c>
      <c r="F13" s="22" t="n">
        <v>240</v>
      </c>
    </row>
    <row r="14" customFormat="false" ht="15" hidden="false" customHeight="false" outlineLevel="0" collapsed="false">
      <c r="B14" s="20" t="s">
        <v>50</v>
      </c>
      <c r="C14" s="21" t="s">
        <v>48</v>
      </c>
      <c r="D14" s="22" t="n">
        <v>380</v>
      </c>
      <c r="E14" s="22" t="n">
        <v>30</v>
      </c>
      <c r="F14" s="22" t="n">
        <v>180</v>
      </c>
    </row>
    <row r="15" customFormat="false" ht="15" hidden="false" customHeight="false" outlineLevel="0" collapsed="false">
      <c r="B15" s="20" t="s">
        <v>51</v>
      </c>
      <c r="C15" s="21" t="s">
        <v>48</v>
      </c>
      <c r="D15" s="22" t="n">
        <v>350</v>
      </c>
      <c r="E15" s="22" t="n">
        <v>38</v>
      </c>
      <c r="F15" s="22" t="n">
        <v>420</v>
      </c>
    </row>
    <row r="16" customFormat="false" ht="15" hidden="false" customHeight="false" outlineLevel="0" collapsed="false">
      <c r="B16" s="20" t="s">
        <v>52</v>
      </c>
      <c r="C16" s="21" t="s">
        <v>48</v>
      </c>
      <c r="D16" s="22" t="n">
        <v>380</v>
      </c>
      <c r="E16" s="22" t="n">
        <v>24</v>
      </c>
      <c r="F16" s="22" t="n">
        <v>220</v>
      </c>
    </row>
    <row r="17" customFormat="false" ht="15" hidden="false" customHeight="false" outlineLevel="0" collapsed="false">
      <c r="B17" s="20" t="s">
        <v>53</v>
      </c>
      <c r="C17" s="21" t="s">
        <v>48</v>
      </c>
      <c r="D17" s="22" t="n">
        <v>360</v>
      </c>
      <c r="E17" s="22" t="n">
        <v>42</v>
      </c>
      <c r="F17" s="22" t="n">
        <v>200</v>
      </c>
    </row>
    <row r="18" customFormat="false" ht="15" hidden="false" customHeight="false" outlineLevel="0" collapsed="false">
      <c r="B18" s="20" t="s">
        <v>54</v>
      </c>
      <c r="C18" s="21" t="s">
        <v>55</v>
      </c>
      <c r="D18" s="22" t="n">
        <v>380</v>
      </c>
      <c r="E18" s="22" t="n">
        <v>34</v>
      </c>
      <c r="F18" s="22" t="n">
        <v>380</v>
      </c>
    </row>
    <row r="19" customFormat="false" ht="15" hidden="false" customHeight="false" outlineLevel="0" collapsed="false">
      <c r="B19" s="20" t="s">
        <v>56</v>
      </c>
      <c r="C19" s="21" t="s">
        <v>55</v>
      </c>
      <c r="D19" s="22" t="n">
        <v>390</v>
      </c>
      <c r="E19" s="22" t="n">
        <v>26</v>
      </c>
      <c r="F19" s="22" t="n">
        <v>130</v>
      </c>
    </row>
    <row r="20" customFormat="false" ht="15" hidden="false" customHeight="false" outlineLevel="0" collapsed="false">
      <c r="B20" s="20" t="s">
        <v>57</v>
      </c>
      <c r="C20" s="21" t="s">
        <v>55</v>
      </c>
      <c r="D20" s="22" t="n">
        <v>390</v>
      </c>
      <c r="E20" s="22" t="n">
        <v>34</v>
      </c>
      <c r="F20" s="22" t="n">
        <v>210</v>
      </c>
    </row>
    <row r="21" customFormat="false" ht="15" hidden="false" customHeight="false" outlineLevel="0" collapsed="false">
      <c r="B21" s="20" t="s">
        <v>58</v>
      </c>
      <c r="C21" s="21" t="s">
        <v>55</v>
      </c>
      <c r="D21" s="22" t="n">
        <v>370</v>
      </c>
      <c r="E21" s="22" t="n">
        <v>30</v>
      </c>
      <c r="F21" s="22" t="n">
        <v>420</v>
      </c>
    </row>
    <row r="22" customFormat="false" ht="15" hidden="false" customHeight="false" outlineLevel="0" collapsed="false">
      <c r="B22" s="20" t="s">
        <v>59</v>
      </c>
      <c r="C22" s="21" t="s">
        <v>55</v>
      </c>
      <c r="D22" s="22" t="n">
        <v>380</v>
      </c>
      <c r="E22" s="22" t="n">
        <v>32</v>
      </c>
      <c r="F22" s="22" t="n">
        <v>300</v>
      </c>
    </row>
    <row r="23" customFormat="false" ht="15" hidden="false" customHeight="false" outlineLevel="0" collapsed="false">
      <c r="B23" s="20" t="s">
        <v>60</v>
      </c>
      <c r="C23" s="21" t="s">
        <v>55</v>
      </c>
      <c r="D23" s="22" t="n">
        <v>360</v>
      </c>
      <c r="E23" s="22" t="n">
        <v>40</v>
      </c>
      <c r="F23" s="22" t="n">
        <v>250</v>
      </c>
    </row>
    <row r="24" customFormat="false" ht="15" hidden="false" customHeight="false" outlineLevel="0" collapsed="false">
      <c r="B24" s="20" t="s">
        <v>61</v>
      </c>
      <c r="C24" s="21" t="s">
        <v>62</v>
      </c>
      <c r="D24" s="22" t="n">
        <v>120</v>
      </c>
      <c r="E24" s="22" t="n">
        <v>11</v>
      </c>
      <c r="F24" s="22" t="n">
        <v>60</v>
      </c>
    </row>
    <row r="25" customFormat="false" ht="15" hidden="false" customHeight="false" outlineLevel="0" collapsed="false">
      <c r="B25" s="20" t="s">
        <v>63</v>
      </c>
      <c r="C25" s="21" t="s">
        <v>62</v>
      </c>
      <c r="D25" s="22" t="n">
        <v>180</v>
      </c>
      <c r="E25" s="22" t="n">
        <v>10</v>
      </c>
      <c r="F25" s="22" t="n">
        <v>55</v>
      </c>
    </row>
    <row r="26" customFormat="false" ht="15" hidden="false" customHeight="false" outlineLevel="0" collapsed="false">
      <c r="B26" s="20" t="s">
        <v>64</v>
      </c>
      <c r="C26" s="21" t="s">
        <v>62</v>
      </c>
      <c r="D26" s="22" t="n">
        <v>210</v>
      </c>
      <c r="E26" s="22" t="n">
        <v>6</v>
      </c>
      <c r="F26" s="22" t="n">
        <v>75</v>
      </c>
    </row>
    <row r="27" customFormat="false" ht="15" hidden="false" customHeight="false" outlineLevel="0" collapsed="false">
      <c r="B27" s="20" t="s">
        <v>65</v>
      </c>
      <c r="C27" s="21" t="s">
        <v>62</v>
      </c>
      <c r="D27" s="22" t="n">
        <v>120</v>
      </c>
      <c r="E27" s="22" t="n">
        <v>7</v>
      </c>
      <c r="F27" s="22" t="n">
        <v>250</v>
      </c>
    </row>
    <row r="28" customFormat="false" ht="15" hidden="false" customHeight="false" outlineLevel="0" collapsed="false">
      <c r="B28" s="20" t="s">
        <v>66</v>
      </c>
      <c r="C28" s="21" t="s">
        <v>62</v>
      </c>
      <c r="D28" s="22" t="n">
        <v>110</v>
      </c>
      <c r="E28" s="22" t="n">
        <v>24</v>
      </c>
      <c r="F28" s="22" t="n">
        <v>80</v>
      </c>
    </row>
    <row r="29" customFormat="false" ht="15" hidden="false" customHeight="false" outlineLevel="0" collapsed="false">
      <c r="B29" s="20" t="s">
        <v>67</v>
      </c>
      <c r="C29" s="21" t="s">
        <v>62</v>
      </c>
      <c r="D29" s="22" t="n">
        <v>160</v>
      </c>
      <c r="E29" s="22" t="n">
        <v>6</v>
      </c>
      <c r="F29" s="22" t="n">
        <v>50</v>
      </c>
    </row>
    <row r="30" customFormat="false" ht="15" hidden="false" customHeight="false" outlineLevel="0" collapsed="false">
      <c r="B30" s="20" t="s">
        <v>68</v>
      </c>
      <c r="C30" s="21" t="s">
        <v>62</v>
      </c>
      <c r="D30" s="22" t="n">
        <v>150</v>
      </c>
      <c r="E30" s="22" t="n">
        <v>5</v>
      </c>
      <c r="F30" s="22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2026-05-28T14:18:08Z</dcterms:created>
  <dc:creator>openpyxl</dc:creator>
  <dc:description/>
  <dc:language>en-US</dc:language>
  <cp:lastModifiedBy/>
  <dcterms:modified xsi:type="dcterms:W3CDTF">2026-05-28T14:18:11Z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